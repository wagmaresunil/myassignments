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agmare Sunil [E drive]\01 10k Coders\01 All Subjects\10kcoders notes and Assignments\Complete All Subject Pending Assignments\HTML\myassignments\EXCEL CLASS\"/>
    </mc:Choice>
  </mc:AlternateContent>
  <xr:revisionPtr revIDLastSave="0" documentId="13_ncr:1_{4E1DC9F1-0EF9-41B5-B97B-C51632B8D61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hamatical operations" sheetId="1" r:id="rId1"/>
    <sheet name="amount calculations" sheetId="2" r:id="rId2"/>
    <sheet name="upper lower firstname lastname" sheetId="3" r:id="rId3"/>
    <sheet name="day month year no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G6" i="4"/>
  <c r="G7" i="4"/>
  <c r="G2" i="4"/>
  <c r="D4" i="1"/>
  <c r="J3" i="3"/>
  <c r="J4" i="3"/>
  <c r="J5" i="3"/>
  <c r="J6" i="3"/>
  <c r="J7" i="3"/>
  <c r="J8" i="3"/>
  <c r="J9" i="3"/>
  <c r="J10" i="3"/>
  <c r="K3" i="3"/>
  <c r="K4" i="3"/>
  <c r="K5" i="3"/>
  <c r="K6" i="3"/>
  <c r="K7" i="3"/>
  <c r="K8" i="3"/>
  <c r="K9" i="3"/>
  <c r="K10" i="3"/>
  <c r="L3" i="3"/>
  <c r="L4" i="3"/>
  <c r="L5" i="3"/>
  <c r="L6" i="3"/>
  <c r="L7" i="3"/>
  <c r="L8" i="3"/>
  <c r="L9" i="3"/>
  <c r="L10" i="3"/>
  <c r="L2" i="3"/>
  <c r="J2" i="3"/>
  <c r="I3" i="3"/>
  <c r="I4" i="3"/>
  <c r="I5" i="3"/>
  <c r="I6" i="3"/>
  <c r="I7" i="3"/>
  <c r="I8" i="3"/>
  <c r="I9" i="3"/>
  <c r="I10" i="3"/>
  <c r="I2" i="3"/>
  <c r="K2" i="3"/>
  <c r="H3" i="3"/>
  <c r="H4" i="3"/>
  <c r="H5" i="3"/>
  <c r="H6" i="3"/>
  <c r="H7" i="3"/>
  <c r="H8" i="3"/>
  <c r="H9" i="3"/>
  <c r="H10" i="3"/>
  <c r="H2" i="3"/>
  <c r="G3" i="3"/>
  <c r="G4" i="3"/>
  <c r="G5" i="3"/>
  <c r="G6" i="3"/>
  <c r="G7" i="3"/>
  <c r="G8" i="3"/>
  <c r="G9" i="3"/>
  <c r="G10" i="3"/>
  <c r="G2" i="3"/>
  <c r="G3" i="4"/>
  <c r="G4" i="4"/>
  <c r="G5" i="4"/>
  <c r="G8" i="4"/>
  <c r="G9" i="4"/>
  <c r="G10" i="4"/>
  <c r="G11" i="4"/>
  <c r="G12" i="4"/>
  <c r="G13" i="4"/>
  <c r="F3" i="4"/>
  <c r="F4" i="4"/>
  <c r="F5" i="4"/>
  <c r="F7" i="4"/>
  <c r="F8" i="4"/>
  <c r="F9" i="4"/>
  <c r="F10" i="4"/>
  <c r="F11" i="4"/>
  <c r="F12" i="4"/>
  <c r="F13" i="4"/>
  <c r="F2" i="4"/>
  <c r="E3" i="4"/>
  <c r="E4" i="4"/>
  <c r="E5" i="4"/>
  <c r="E6" i="4"/>
  <c r="E7" i="4"/>
  <c r="E8" i="4"/>
  <c r="E9" i="4"/>
  <c r="E10" i="4"/>
  <c r="E11" i="4"/>
  <c r="E12" i="4"/>
  <c r="E13" i="4"/>
  <c r="E2" i="4"/>
  <c r="D3" i="4"/>
  <c r="D4" i="4"/>
  <c r="D5" i="4"/>
  <c r="D6" i="4"/>
  <c r="D7" i="4"/>
  <c r="D8" i="4"/>
  <c r="D9" i="4"/>
  <c r="D10" i="4"/>
  <c r="D11" i="4"/>
  <c r="D12" i="4"/>
  <c r="D13" i="4"/>
  <c r="D2" i="4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G5" i="1"/>
  <c r="G6" i="1"/>
  <c r="G7" i="1"/>
  <c r="G8" i="1"/>
  <c r="G9" i="1"/>
  <c r="G10" i="1"/>
  <c r="G11" i="1"/>
  <c r="G12" i="1"/>
  <c r="G13" i="1"/>
  <c r="G4" i="1"/>
  <c r="F5" i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E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<sst xmlns="http://schemas.openxmlformats.org/spreadsheetml/2006/main" count="91" uniqueCount="77">
  <si>
    <t>A</t>
  </si>
  <si>
    <t>B</t>
  </si>
  <si>
    <t>ADD</t>
  </si>
  <si>
    <t>SUB</t>
  </si>
  <si>
    <t>MUL</t>
  </si>
  <si>
    <t>DIV</t>
  </si>
  <si>
    <t>product</t>
  </si>
  <si>
    <t>price</t>
  </si>
  <si>
    <t>quantity</t>
  </si>
  <si>
    <t>finalamount</t>
  </si>
  <si>
    <t>mobile</t>
  </si>
  <si>
    <t>laptop</t>
  </si>
  <si>
    <t>tablet</t>
  </si>
  <si>
    <t>watch</t>
  </si>
  <si>
    <t>headset</t>
  </si>
  <si>
    <t>tv</t>
  </si>
  <si>
    <t>mixy</t>
  </si>
  <si>
    <t>absolute reference shipping charges</t>
  </si>
  <si>
    <t>shirts</t>
  </si>
  <si>
    <t>final+shipping charges</t>
  </si>
  <si>
    <t>First Name</t>
  </si>
  <si>
    <t>Last Name</t>
  </si>
  <si>
    <t>Email</t>
  </si>
  <si>
    <t>Phone</t>
  </si>
  <si>
    <t>Address</t>
  </si>
  <si>
    <t>upper</t>
  </si>
  <si>
    <t>lower</t>
  </si>
  <si>
    <t>left</t>
  </si>
  <si>
    <t>right</t>
  </si>
  <si>
    <t>mid</t>
  </si>
  <si>
    <t>jyostna</t>
  </si>
  <si>
    <t>mahesh</t>
  </si>
  <si>
    <t>ramesh</t>
  </si>
  <si>
    <t>suresh</t>
  </si>
  <si>
    <t>kranthi</t>
  </si>
  <si>
    <t>avinash</t>
  </si>
  <si>
    <t>amruthi</t>
  </si>
  <si>
    <t>vijay</t>
  </si>
  <si>
    <t>ramana</t>
  </si>
  <si>
    <t>Employee name</t>
  </si>
  <si>
    <t>join date</t>
  </si>
  <si>
    <t xml:space="preserve">day </t>
  </si>
  <si>
    <t>month</t>
  </si>
  <si>
    <t>year</t>
  </si>
  <si>
    <t>current</t>
  </si>
  <si>
    <t>sunil</t>
  </si>
  <si>
    <t>kiran</t>
  </si>
  <si>
    <t>arjun</t>
  </si>
  <si>
    <t>hulram</t>
  </si>
  <si>
    <t>anand</t>
  </si>
  <si>
    <t>anand rao</t>
  </si>
  <si>
    <t>shubham</t>
  </si>
  <si>
    <t>shankar</t>
  </si>
  <si>
    <t>arun</t>
  </si>
  <si>
    <t>Sl No</t>
  </si>
  <si>
    <t>abc@gmail.com</t>
  </si>
  <si>
    <t>kukatpally</t>
  </si>
  <si>
    <t>kompally</t>
  </si>
  <si>
    <t>kachiguda</t>
  </si>
  <si>
    <t>hyderabad</t>
  </si>
  <si>
    <t>kphb</t>
  </si>
  <si>
    <t>jntuh</t>
  </si>
  <si>
    <t>hitech city</t>
  </si>
  <si>
    <t>gachibowli</t>
  </si>
  <si>
    <t>madhapur</t>
  </si>
  <si>
    <t>Kumari</t>
  </si>
  <si>
    <t>Kumar</t>
  </si>
  <si>
    <t>Padma</t>
  </si>
  <si>
    <t>Suma</t>
  </si>
  <si>
    <t>Rama</t>
  </si>
  <si>
    <t>Suja</t>
  </si>
  <si>
    <t>Avi</t>
  </si>
  <si>
    <t>Mari</t>
  </si>
  <si>
    <t>Ajju</t>
  </si>
  <si>
    <t>Adding firstname+lastname</t>
  </si>
  <si>
    <t>Mathamatical Operations</t>
  </si>
  <si>
    <t>Product amount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</si>
</sst>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6"/>
      <color theme="0"/>
      <name val="Times New Roman"/>
      <family val="1"/>
    </font>
    <font>
      <sz val="16"/>
      <color theme="1"/>
      <name val="Times New Roman"/>
      <family val="1"/>
    </font>
    <font>
      <sz val="15"/>
      <color theme="0"/>
      <name val="Calibri"/>
      <family val="2"/>
      <scheme val="minor"/>
    </font>
    <font>
      <sz val="15"/>
      <color theme="0"/>
      <name val="Times New Roman"/>
      <family val="1"/>
    </font>
    <font>
      <sz val="15"/>
      <color theme="1"/>
      <name val="Calibri"/>
      <family val="2"/>
      <scheme val="minor"/>
    </font>
    <font>
      <sz val="15"/>
      <color theme="1"/>
      <name val="Times New Roman"/>
      <family val="1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4" fillId="3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14" fontId="6" fillId="0" borderId="1" xfId="0" applyNumberFormat="1" applyFont="1" applyBorder="1"/>
    <xf numFmtId="22" fontId="6" fillId="0" borderId="1" xfId="0" applyNumberFormat="1" applyFont="1" applyBorder="1"/>
    <xf numFmtId="0" fontId="9" fillId="0" borderId="1" xfId="0" applyFont="1" applyBorder="1"/>
    <xf numFmtId="0" fontId="8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2" borderId="1" xfId="0" applyFont="1" applyFill="1" applyBorder="1"/>
    <xf numFmtId="0" fontId="10" fillId="3" borderId="1" xfId="0" applyFont="1" applyFill="1" applyBorder="1"/>
    <xf numFmtId="0" fontId="11" fillId="0" borderId="1" xfId="0" applyFont="1" applyBorder="1"/>
    <xf numFmtId="0" fontId="9" fillId="0" borderId="0" xfId="0" applyFont="1"/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3"/>
  <sheetViews>
    <sheetView tabSelected="1" workbookViewId="0">
      <selection activeCell="G19" sqref="G19"/>
    </sheetView>
  </sheetViews>
  <sheetFormatPr defaultRowHeight="14.5" x14ac:dyDescent="0.35"/>
  <cols>
    <col min="1" max="1" width="7.7265625" bestFit="1" customWidth="1"/>
    <col min="2" max="3" width="3.90625" bestFit="1" customWidth="1"/>
    <col min="4" max="4" width="7.1796875" bestFit="1" customWidth="1"/>
    <col min="5" max="5" width="6.54296875" bestFit="1" customWidth="1"/>
    <col min="6" max="6" width="7.26953125" bestFit="1" customWidth="1"/>
    <col min="7" max="7" width="17.1796875" customWidth="1"/>
    <col min="12" max="12" width="11" bestFit="1" customWidth="1"/>
    <col min="13" max="13" width="19.453125" bestFit="1" customWidth="1"/>
    <col min="14" max="14" width="31.1796875" bestFit="1" customWidth="1"/>
  </cols>
  <sheetData>
    <row r="2" spans="1:7" ht="21" x14ac:dyDescent="0.5">
      <c r="A2" s="18" t="s">
        <v>75</v>
      </c>
      <c r="B2" s="18"/>
      <c r="C2" s="18"/>
      <c r="D2" s="18"/>
      <c r="E2" s="18"/>
      <c r="F2" s="18"/>
      <c r="G2" s="18"/>
    </row>
    <row r="3" spans="1:7" ht="21" x14ac:dyDescent="0.5">
      <c r="A3" s="12" t="s">
        <v>54</v>
      </c>
      <c r="B3" s="12" t="s">
        <v>0</v>
      </c>
      <c r="C3" s="12" t="s">
        <v>1</v>
      </c>
      <c r="D3" s="12" t="s">
        <v>2</v>
      </c>
      <c r="E3" s="12" t="s">
        <v>3</v>
      </c>
      <c r="F3" s="12" t="s">
        <v>4</v>
      </c>
      <c r="G3" s="12" t="s">
        <v>5</v>
      </c>
    </row>
    <row r="4" spans="1:7" ht="21" x14ac:dyDescent="0.5">
      <c r="A4" s="13">
        <v>1</v>
      </c>
      <c r="B4" s="13">
        <v>10</v>
      </c>
      <c r="C4" s="13">
        <v>30</v>
      </c>
      <c r="D4" s="13">
        <f>B4+C4</f>
        <v>40</v>
      </c>
      <c r="E4" s="13">
        <f>B4-C4</f>
        <v>-20</v>
      </c>
      <c r="F4" s="13">
        <f>B4*C4</f>
        <v>300</v>
      </c>
      <c r="G4" s="13">
        <f>B4/C4</f>
        <v>0.33333333333333331</v>
      </c>
    </row>
    <row r="5" spans="1:7" ht="21" x14ac:dyDescent="0.5">
      <c r="A5" s="13">
        <v>2</v>
      </c>
      <c r="B5" s="13">
        <v>25</v>
      </c>
      <c r="C5" s="13">
        <v>12</v>
      </c>
      <c r="D5" s="13">
        <f t="shared" ref="D5:D13" si="0">B5+C5</f>
        <v>37</v>
      </c>
      <c r="E5" s="13">
        <f t="shared" ref="E5:E13" si="1">B5-C5</f>
        <v>13</v>
      </c>
      <c r="F5" s="13">
        <f t="shared" ref="F5:F13" si="2">B5*C5</f>
        <v>300</v>
      </c>
      <c r="G5" s="13">
        <f t="shared" ref="G5:G13" si="3">B5/C5</f>
        <v>2.0833333333333335</v>
      </c>
    </row>
    <row r="6" spans="1:7" ht="21" x14ac:dyDescent="0.5">
      <c r="A6" s="13">
        <v>3</v>
      </c>
      <c r="B6" s="13">
        <v>34</v>
      </c>
      <c r="C6" s="13">
        <v>23</v>
      </c>
      <c r="D6" s="13">
        <f t="shared" si="0"/>
        <v>57</v>
      </c>
      <c r="E6" s="13">
        <f t="shared" si="1"/>
        <v>11</v>
      </c>
      <c r="F6" s="13">
        <f t="shared" si="2"/>
        <v>782</v>
      </c>
      <c r="G6" s="13">
        <f t="shared" si="3"/>
        <v>1.4782608695652173</v>
      </c>
    </row>
    <row r="7" spans="1:7" ht="21" x14ac:dyDescent="0.5">
      <c r="A7" s="13">
        <v>4</v>
      </c>
      <c r="B7" s="13">
        <v>40</v>
      </c>
      <c r="C7" s="13">
        <v>12</v>
      </c>
      <c r="D7" s="13">
        <f t="shared" si="0"/>
        <v>52</v>
      </c>
      <c r="E7" s="13">
        <f t="shared" si="1"/>
        <v>28</v>
      </c>
      <c r="F7" s="13">
        <f t="shared" si="2"/>
        <v>480</v>
      </c>
      <c r="G7" s="13">
        <f t="shared" si="3"/>
        <v>3.3333333333333335</v>
      </c>
    </row>
    <row r="8" spans="1:7" ht="21" x14ac:dyDescent="0.5">
      <c r="A8" s="13">
        <v>5</v>
      </c>
      <c r="B8" s="13">
        <v>20</v>
      </c>
      <c r="C8" s="13">
        <v>45</v>
      </c>
      <c r="D8" s="13">
        <f t="shared" si="0"/>
        <v>65</v>
      </c>
      <c r="E8" s="13">
        <f t="shared" si="1"/>
        <v>-25</v>
      </c>
      <c r="F8" s="13">
        <f t="shared" si="2"/>
        <v>900</v>
      </c>
      <c r="G8" s="13">
        <f t="shared" si="3"/>
        <v>0.44444444444444442</v>
      </c>
    </row>
    <row r="9" spans="1:7" ht="21" x14ac:dyDescent="0.5">
      <c r="A9" s="13">
        <v>6</v>
      </c>
      <c r="B9" s="13">
        <v>10</v>
      </c>
      <c r="C9" s="13">
        <v>76</v>
      </c>
      <c r="D9" s="13">
        <f t="shared" si="0"/>
        <v>86</v>
      </c>
      <c r="E9" s="13">
        <f t="shared" si="1"/>
        <v>-66</v>
      </c>
      <c r="F9" s="13">
        <f t="shared" si="2"/>
        <v>760</v>
      </c>
      <c r="G9" s="13">
        <f t="shared" si="3"/>
        <v>0.13157894736842105</v>
      </c>
    </row>
    <row r="10" spans="1:7" ht="21" x14ac:dyDescent="0.5">
      <c r="A10" s="13">
        <v>7</v>
      </c>
      <c r="B10" s="13">
        <v>20</v>
      </c>
      <c r="C10" s="13">
        <v>74</v>
      </c>
      <c r="D10" s="13">
        <f t="shared" si="0"/>
        <v>94</v>
      </c>
      <c r="E10" s="13">
        <f t="shared" si="1"/>
        <v>-54</v>
      </c>
      <c r="F10" s="13">
        <f t="shared" si="2"/>
        <v>1480</v>
      </c>
      <c r="G10" s="13">
        <f t="shared" si="3"/>
        <v>0.27027027027027029</v>
      </c>
    </row>
    <row r="11" spans="1:7" ht="21" x14ac:dyDescent="0.5">
      <c r="A11" s="13">
        <v>8</v>
      </c>
      <c r="B11" s="13">
        <v>40</v>
      </c>
      <c r="C11" s="13">
        <v>21</v>
      </c>
      <c r="D11" s="13">
        <f t="shared" si="0"/>
        <v>61</v>
      </c>
      <c r="E11" s="13">
        <f t="shared" si="1"/>
        <v>19</v>
      </c>
      <c r="F11" s="13">
        <f t="shared" si="2"/>
        <v>840</v>
      </c>
      <c r="G11" s="13">
        <f t="shared" si="3"/>
        <v>1.9047619047619047</v>
      </c>
    </row>
    <row r="12" spans="1:7" ht="21" x14ac:dyDescent="0.5">
      <c r="A12" s="13">
        <v>9</v>
      </c>
      <c r="B12" s="13">
        <v>53</v>
      </c>
      <c r="C12" s="13">
        <v>32</v>
      </c>
      <c r="D12" s="13">
        <f t="shared" si="0"/>
        <v>85</v>
      </c>
      <c r="E12" s="13">
        <f t="shared" si="1"/>
        <v>21</v>
      </c>
      <c r="F12" s="13">
        <f t="shared" si="2"/>
        <v>1696</v>
      </c>
      <c r="G12" s="13">
        <f t="shared" si="3"/>
        <v>1.65625</v>
      </c>
    </row>
    <row r="13" spans="1:7" ht="21" x14ac:dyDescent="0.5">
      <c r="A13" s="13">
        <v>10</v>
      </c>
      <c r="B13" s="13">
        <v>90</v>
      </c>
      <c r="C13" s="13">
        <v>43</v>
      </c>
      <c r="D13" s="13">
        <f t="shared" si="0"/>
        <v>133</v>
      </c>
      <c r="E13" s="13">
        <f t="shared" si="1"/>
        <v>47</v>
      </c>
      <c r="F13" s="13">
        <f t="shared" si="2"/>
        <v>3870</v>
      </c>
      <c r="G13" s="13">
        <f t="shared" si="3"/>
        <v>2.0930232558139537</v>
      </c>
    </row>
  </sheetData>
  <mergeCells count="1">
    <mergeCell ref="A2:G2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3A72-4787-4EAC-B7BC-7304D187F2E0}">
  <dimension ref="A2:H11"/>
  <sheetViews>
    <sheetView workbookViewId="0">
      <selection activeCell="F15" sqref="F15"/>
    </sheetView>
  </sheetViews>
  <sheetFormatPr defaultRowHeight="14.5" x14ac:dyDescent="0.35"/>
  <cols>
    <col min="2" max="2" width="9.26953125" bestFit="1" customWidth="1"/>
    <col min="3" max="3" width="7.81640625" bestFit="1" customWidth="1"/>
    <col min="4" max="4" width="9.6328125" bestFit="1" customWidth="1"/>
    <col min="5" max="5" width="13.90625" bestFit="1" customWidth="1"/>
    <col min="6" max="6" width="25.453125" bestFit="1" customWidth="1"/>
    <col min="8" max="8" width="44.6328125" bestFit="1" customWidth="1"/>
  </cols>
  <sheetData>
    <row r="2" spans="1:8" ht="19.5" x14ac:dyDescent="0.45">
      <c r="A2" s="19" t="s">
        <v>76</v>
      </c>
      <c r="B2" s="19"/>
      <c r="C2" s="19"/>
      <c r="D2" s="19"/>
      <c r="E2" s="19"/>
      <c r="F2" s="19"/>
    </row>
    <row r="3" spans="1:8" ht="21" x14ac:dyDescent="0.5">
      <c r="A3" s="15" t="s">
        <v>54</v>
      </c>
      <c r="B3" s="15" t="s">
        <v>6</v>
      </c>
      <c r="C3" s="15" t="s">
        <v>7</v>
      </c>
      <c r="D3" s="15" t="s">
        <v>8</v>
      </c>
      <c r="E3" s="15" t="s">
        <v>9</v>
      </c>
      <c r="F3" s="15" t="s">
        <v>19</v>
      </c>
      <c r="H3" s="14" t="s">
        <v>17</v>
      </c>
    </row>
    <row r="4" spans="1:8" ht="21" x14ac:dyDescent="0.5">
      <c r="A4" s="16">
        <v>1</v>
      </c>
      <c r="B4" s="16" t="s">
        <v>10</v>
      </c>
      <c r="C4" s="16">
        <v>15000</v>
      </c>
      <c r="D4" s="16">
        <v>2</v>
      </c>
      <c r="E4" s="16">
        <f t="shared" ref="E4:E11" si="0">C4*D4</f>
        <v>30000</v>
      </c>
      <c r="F4" s="16">
        <f t="shared" ref="F4:F11" si="1">E4+$H$4</f>
        <v>30100</v>
      </c>
      <c r="H4" s="11">
        <v>100</v>
      </c>
    </row>
    <row r="5" spans="1:8" ht="18.5" x14ac:dyDescent="0.45">
      <c r="A5" s="16">
        <v>2</v>
      </c>
      <c r="B5" s="16" t="s">
        <v>11</v>
      </c>
      <c r="C5" s="16">
        <v>50000</v>
      </c>
      <c r="D5" s="16">
        <v>1</v>
      </c>
      <c r="E5" s="16">
        <f t="shared" si="0"/>
        <v>50000</v>
      </c>
      <c r="F5" s="16">
        <f t="shared" si="1"/>
        <v>50100</v>
      </c>
    </row>
    <row r="6" spans="1:8" ht="18.5" x14ac:dyDescent="0.45">
      <c r="A6" s="16">
        <v>3</v>
      </c>
      <c r="B6" s="16" t="s">
        <v>12</v>
      </c>
      <c r="C6" s="16">
        <v>20000</v>
      </c>
      <c r="D6" s="16">
        <v>2</v>
      </c>
      <c r="E6" s="16">
        <f t="shared" si="0"/>
        <v>40000</v>
      </c>
      <c r="F6" s="16">
        <f t="shared" si="1"/>
        <v>40100</v>
      </c>
    </row>
    <row r="7" spans="1:8" ht="18.5" x14ac:dyDescent="0.45">
      <c r="A7" s="16">
        <v>4</v>
      </c>
      <c r="B7" s="16" t="s">
        <v>13</v>
      </c>
      <c r="C7" s="16">
        <v>20000</v>
      </c>
      <c r="D7" s="16">
        <v>3</v>
      </c>
      <c r="E7" s="16">
        <f t="shared" si="0"/>
        <v>60000</v>
      </c>
      <c r="F7" s="16">
        <f t="shared" si="1"/>
        <v>60100</v>
      </c>
    </row>
    <row r="8" spans="1:8" ht="18.5" x14ac:dyDescent="0.45">
      <c r="A8" s="16">
        <v>5</v>
      </c>
      <c r="B8" s="16" t="s">
        <v>14</v>
      </c>
      <c r="C8" s="16">
        <v>1500</v>
      </c>
      <c r="D8" s="16">
        <v>4</v>
      </c>
      <c r="E8" s="16">
        <f t="shared" si="0"/>
        <v>6000</v>
      </c>
      <c r="F8" s="16">
        <f t="shared" si="1"/>
        <v>6100</v>
      </c>
    </row>
    <row r="9" spans="1:8" ht="18.5" x14ac:dyDescent="0.45">
      <c r="A9" s="16">
        <v>6</v>
      </c>
      <c r="B9" s="16" t="s">
        <v>15</v>
      </c>
      <c r="C9" s="16">
        <v>50000</v>
      </c>
      <c r="D9" s="16">
        <v>2</v>
      </c>
      <c r="E9" s="16">
        <f t="shared" si="0"/>
        <v>100000</v>
      </c>
      <c r="F9" s="16">
        <f t="shared" si="1"/>
        <v>100100</v>
      </c>
    </row>
    <row r="10" spans="1:8" ht="18.5" x14ac:dyDescent="0.45">
      <c r="A10" s="16">
        <v>7</v>
      </c>
      <c r="B10" s="16" t="s">
        <v>16</v>
      </c>
      <c r="C10" s="16">
        <v>2500</v>
      </c>
      <c r="D10" s="16">
        <v>1</v>
      </c>
      <c r="E10" s="16">
        <f t="shared" si="0"/>
        <v>2500</v>
      </c>
      <c r="F10" s="16">
        <f t="shared" si="1"/>
        <v>2600</v>
      </c>
    </row>
    <row r="11" spans="1:8" ht="21" x14ac:dyDescent="0.5">
      <c r="A11" s="16">
        <v>8</v>
      </c>
      <c r="B11" s="16" t="s">
        <v>18</v>
      </c>
      <c r="C11" s="16">
        <v>1000</v>
      </c>
      <c r="D11" s="16">
        <v>4</v>
      </c>
      <c r="E11" s="16">
        <f t="shared" si="0"/>
        <v>4000</v>
      </c>
      <c r="F11" s="16">
        <f t="shared" si="1"/>
        <v>4100</v>
      </c>
      <c r="H11" s="17"/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CD83-A8F3-4888-9B6E-40A2112B21DB}">
  <dimension ref="A1:L10"/>
  <sheetViews>
    <sheetView workbookViewId="0">
      <selection activeCell="D4" sqref="D4"/>
    </sheetView>
  </sheetViews>
  <sheetFormatPr defaultRowHeight="14.5" x14ac:dyDescent="0.35"/>
  <cols>
    <col min="2" max="2" width="13.81640625" bestFit="1" customWidth="1"/>
    <col min="3" max="3" width="13.36328125" bestFit="1" customWidth="1"/>
    <col min="4" max="4" width="19.7265625" bestFit="1" customWidth="1"/>
    <col min="5" max="5" width="15.6328125" bestFit="1" customWidth="1"/>
    <col min="6" max="6" width="13.81640625" bestFit="1" customWidth="1"/>
    <col min="7" max="7" width="14.36328125" bestFit="1" customWidth="1"/>
    <col min="8" max="8" width="9" bestFit="1" customWidth="1"/>
    <col min="9" max="9" width="8" bestFit="1" customWidth="1"/>
    <col min="10" max="10" width="7" bestFit="1" customWidth="1"/>
    <col min="11" max="11" width="8.26953125" bestFit="1" customWidth="1"/>
    <col min="12" max="12" width="32.7265625" bestFit="1" customWidth="1"/>
  </cols>
  <sheetData>
    <row r="1" spans="1:12" ht="20.5" x14ac:dyDescent="0.45">
      <c r="A1" s="2" t="s">
        <v>54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74</v>
      </c>
    </row>
    <row r="2" spans="1:12" ht="20.5" x14ac:dyDescent="0.45">
      <c r="A2" s="1">
        <v>1</v>
      </c>
      <c r="B2" s="4" t="s">
        <v>30</v>
      </c>
      <c r="C2" s="4" t="s">
        <v>65</v>
      </c>
      <c r="D2" s="4" t="s">
        <v>55</v>
      </c>
      <c r="E2" s="4">
        <v>9182718863</v>
      </c>
      <c r="F2" s="4" t="s">
        <v>56</v>
      </c>
      <c r="G2" s="4" t="str">
        <f>UPPER(B2)</f>
        <v>JYOSTNA</v>
      </c>
      <c r="H2" s="4" t="str">
        <f>LOWER(C2)</f>
        <v>kumari</v>
      </c>
      <c r="I2" s="4" t="str">
        <f>LEFT(B2,5)</f>
        <v>jyost</v>
      </c>
      <c r="J2" s="4" t="str">
        <f>RIGHT(B2,4)</f>
        <v>stna</v>
      </c>
      <c r="K2" s="4" t="str">
        <f>MID(B2,2,5)</f>
        <v>yostn</v>
      </c>
      <c r="L2" s="4" t="str">
        <f>_xlfn.CONCAT(B2," ",C2)</f>
        <v>jyostna Kumari</v>
      </c>
    </row>
    <row r="3" spans="1:12" ht="20.5" x14ac:dyDescent="0.45">
      <c r="A3" s="1">
        <v>2</v>
      </c>
      <c r="B3" s="4" t="s">
        <v>31</v>
      </c>
      <c r="C3" s="4" t="s">
        <v>66</v>
      </c>
      <c r="D3" s="4" t="s">
        <v>55</v>
      </c>
      <c r="E3" s="4">
        <v>9876554356</v>
      </c>
      <c r="F3" s="4" t="s">
        <v>64</v>
      </c>
      <c r="G3" s="4" t="str">
        <f t="shared" ref="G3:G10" si="0">UPPER(B3)</f>
        <v>MAHESH</v>
      </c>
      <c r="H3" s="4" t="str">
        <f t="shared" ref="H3:H10" si="1">LOWER(C3)</f>
        <v>kumar</v>
      </c>
      <c r="I3" s="4" t="str">
        <f t="shared" ref="I3:I10" si="2">LEFT(B3,5)</f>
        <v>mahes</v>
      </c>
      <c r="J3" s="4" t="str">
        <f t="shared" ref="J3:J10" si="3">RIGHT(B3,4)</f>
        <v>hesh</v>
      </c>
      <c r="K3" s="4" t="str">
        <f t="shared" ref="K3:K10" si="4">MID(B3,2,5)</f>
        <v>ahesh</v>
      </c>
      <c r="L3" s="4" t="str">
        <f t="shared" ref="L3:L10" si="5">_xlfn.CONCAT(B3," ",C3)</f>
        <v>mahesh Kumar</v>
      </c>
    </row>
    <row r="4" spans="1:12" ht="20.5" x14ac:dyDescent="0.45">
      <c r="A4" s="1">
        <v>3</v>
      </c>
      <c r="B4" s="4" t="s">
        <v>32</v>
      </c>
      <c r="C4" s="4" t="s">
        <v>67</v>
      </c>
      <c r="D4" s="4" t="s">
        <v>55</v>
      </c>
      <c r="E4" s="4">
        <v>9876546747</v>
      </c>
      <c r="F4" s="4" t="s">
        <v>57</v>
      </c>
      <c r="G4" s="4" t="str">
        <f t="shared" si="0"/>
        <v>RAMESH</v>
      </c>
      <c r="H4" s="4" t="str">
        <f t="shared" si="1"/>
        <v>padma</v>
      </c>
      <c r="I4" s="4" t="str">
        <f t="shared" si="2"/>
        <v>rames</v>
      </c>
      <c r="J4" s="4" t="str">
        <f t="shared" si="3"/>
        <v>mesh</v>
      </c>
      <c r="K4" s="4" t="str">
        <f t="shared" si="4"/>
        <v>amesh</v>
      </c>
      <c r="L4" s="4" t="str">
        <f t="shared" si="5"/>
        <v>ramesh Padma</v>
      </c>
    </row>
    <row r="5" spans="1:12" ht="20.5" x14ac:dyDescent="0.45">
      <c r="A5" s="1">
        <v>4</v>
      </c>
      <c r="B5" s="4" t="s">
        <v>33</v>
      </c>
      <c r="C5" s="4" t="s">
        <v>68</v>
      </c>
      <c r="D5" s="4" t="s">
        <v>55</v>
      </c>
      <c r="E5" s="4">
        <v>9866557587</v>
      </c>
      <c r="F5" s="4" t="s">
        <v>58</v>
      </c>
      <c r="G5" s="4" t="str">
        <f t="shared" si="0"/>
        <v>SURESH</v>
      </c>
      <c r="H5" s="4" t="str">
        <f t="shared" si="1"/>
        <v>suma</v>
      </c>
      <c r="I5" s="4" t="str">
        <f t="shared" si="2"/>
        <v>sures</v>
      </c>
      <c r="J5" s="4" t="str">
        <f t="shared" si="3"/>
        <v>resh</v>
      </c>
      <c r="K5" s="4" t="str">
        <f t="shared" si="4"/>
        <v>uresh</v>
      </c>
      <c r="L5" s="4" t="str">
        <f t="shared" si="5"/>
        <v>suresh Suma</v>
      </c>
    </row>
    <row r="6" spans="1:12" ht="20.5" x14ac:dyDescent="0.45">
      <c r="A6" s="1">
        <v>5</v>
      </c>
      <c r="B6" s="4" t="s">
        <v>34</v>
      </c>
      <c r="C6" s="4" t="s">
        <v>69</v>
      </c>
      <c r="D6" s="4" t="s">
        <v>55</v>
      </c>
      <c r="E6" s="4">
        <v>9876646535</v>
      </c>
      <c r="F6" s="4" t="s">
        <v>59</v>
      </c>
      <c r="G6" s="4" t="str">
        <f t="shared" si="0"/>
        <v>KRANTHI</v>
      </c>
      <c r="H6" s="4" t="str">
        <f t="shared" si="1"/>
        <v>rama</v>
      </c>
      <c r="I6" s="4" t="str">
        <f t="shared" si="2"/>
        <v>krant</v>
      </c>
      <c r="J6" s="4" t="str">
        <f t="shared" si="3"/>
        <v>nthi</v>
      </c>
      <c r="K6" s="4" t="str">
        <f t="shared" si="4"/>
        <v>ranth</v>
      </c>
      <c r="L6" s="4" t="str">
        <f t="shared" si="5"/>
        <v>kranthi Rama</v>
      </c>
    </row>
    <row r="7" spans="1:12" ht="20.5" x14ac:dyDescent="0.45">
      <c r="A7" s="1">
        <v>6</v>
      </c>
      <c r="B7" s="4" t="s">
        <v>35</v>
      </c>
      <c r="C7" s="4" t="s">
        <v>70</v>
      </c>
      <c r="D7" s="4" t="s">
        <v>55</v>
      </c>
      <c r="E7" s="4">
        <v>9878857587</v>
      </c>
      <c r="F7" s="4" t="s">
        <v>60</v>
      </c>
      <c r="G7" s="4" t="str">
        <f t="shared" si="0"/>
        <v>AVINASH</v>
      </c>
      <c r="H7" s="4" t="str">
        <f t="shared" si="1"/>
        <v>suja</v>
      </c>
      <c r="I7" s="4" t="str">
        <f t="shared" si="2"/>
        <v>avina</v>
      </c>
      <c r="J7" s="4" t="str">
        <f t="shared" si="3"/>
        <v>nash</v>
      </c>
      <c r="K7" s="4" t="str">
        <f t="shared" si="4"/>
        <v>vinas</v>
      </c>
      <c r="L7" s="4" t="str">
        <f t="shared" si="5"/>
        <v>avinash Suja</v>
      </c>
    </row>
    <row r="8" spans="1:12" ht="20.5" x14ac:dyDescent="0.45">
      <c r="A8" s="1">
        <v>7</v>
      </c>
      <c r="B8" s="4" t="s">
        <v>36</v>
      </c>
      <c r="C8" s="4" t="s">
        <v>71</v>
      </c>
      <c r="D8" s="4" t="s">
        <v>55</v>
      </c>
      <c r="E8" s="4">
        <v>9878576577</v>
      </c>
      <c r="F8" s="4" t="s">
        <v>61</v>
      </c>
      <c r="G8" s="4" t="str">
        <f t="shared" si="0"/>
        <v>AMRUTHI</v>
      </c>
      <c r="H8" s="4" t="str">
        <f t="shared" si="1"/>
        <v>avi</v>
      </c>
      <c r="I8" s="4" t="str">
        <f t="shared" si="2"/>
        <v>amrut</v>
      </c>
      <c r="J8" s="4" t="str">
        <f t="shared" si="3"/>
        <v>uthi</v>
      </c>
      <c r="K8" s="4" t="str">
        <f t="shared" si="4"/>
        <v>mruth</v>
      </c>
      <c r="L8" s="4" t="str">
        <f t="shared" si="5"/>
        <v>amruthi Avi</v>
      </c>
    </row>
    <row r="9" spans="1:12" ht="20.5" x14ac:dyDescent="0.45">
      <c r="A9" s="1">
        <v>8</v>
      </c>
      <c r="B9" s="4" t="s">
        <v>37</v>
      </c>
      <c r="C9" s="4" t="s">
        <v>72</v>
      </c>
      <c r="D9" s="4" t="s">
        <v>55</v>
      </c>
      <c r="E9" s="4">
        <v>9556578878</v>
      </c>
      <c r="F9" s="4" t="s">
        <v>62</v>
      </c>
      <c r="G9" s="4" t="str">
        <f t="shared" si="0"/>
        <v>VIJAY</v>
      </c>
      <c r="H9" s="4" t="str">
        <f t="shared" si="1"/>
        <v>mari</v>
      </c>
      <c r="I9" s="4" t="str">
        <f t="shared" si="2"/>
        <v>vijay</v>
      </c>
      <c r="J9" s="4" t="str">
        <f t="shared" si="3"/>
        <v>ijay</v>
      </c>
      <c r="K9" s="4" t="str">
        <f t="shared" si="4"/>
        <v>ijay</v>
      </c>
      <c r="L9" s="4" t="str">
        <f t="shared" si="5"/>
        <v>vijay Mari</v>
      </c>
    </row>
    <row r="10" spans="1:12" ht="20.5" x14ac:dyDescent="0.45">
      <c r="A10" s="1">
        <v>9</v>
      </c>
      <c r="B10" s="4" t="s">
        <v>38</v>
      </c>
      <c r="C10" s="4" t="s">
        <v>73</v>
      </c>
      <c r="D10" s="4" t="s">
        <v>55</v>
      </c>
      <c r="E10" s="4">
        <v>9876566544</v>
      </c>
      <c r="F10" s="4" t="s">
        <v>63</v>
      </c>
      <c r="G10" s="4" t="str">
        <f t="shared" si="0"/>
        <v>RAMANA</v>
      </c>
      <c r="H10" s="4" t="str">
        <f t="shared" si="1"/>
        <v>ajju</v>
      </c>
      <c r="I10" s="4" t="str">
        <f t="shared" si="2"/>
        <v>raman</v>
      </c>
      <c r="J10" s="4" t="str">
        <f t="shared" si="3"/>
        <v>mana</v>
      </c>
      <c r="K10" s="4" t="str">
        <f t="shared" si="4"/>
        <v>amana</v>
      </c>
      <c r="L10" s="4" t="str">
        <f t="shared" si="5"/>
        <v>ramana Ajju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F7FD5-0C2E-4E7E-8237-E0EE6BB8B4EE}">
  <dimension ref="A1:G13"/>
  <sheetViews>
    <sheetView workbookViewId="0">
      <selection activeCell="H8" sqref="H8"/>
    </sheetView>
  </sheetViews>
  <sheetFormatPr defaultRowHeight="14.5" x14ac:dyDescent="0.35"/>
  <cols>
    <col min="1" max="1" width="6.7265625" bestFit="1" customWidth="1"/>
    <col min="2" max="2" width="18.453125" bestFit="1" customWidth="1"/>
    <col min="3" max="3" width="13.6328125" bestFit="1" customWidth="1"/>
    <col min="4" max="4" width="5.54296875" bestFit="1" customWidth="1"/>
    <col min="5" max="5" width="7.90625" bestFit="1" customWidth="1"/>
    <col min="6" max="6" width="6.453125" bestFit="1" customWidth="1"/>
    <col min="7" max="7" width="20.54296875" bestFit="1" customWidth="1"/>
  </cols>
  <sheetData>
    <row r="1" spans="1:7" ht="19.5" x14ac:dyDescent="0.45">
      <c r="A1" s="5" t="s">
        <v>54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</row>
    <row r="2" spans="1:7" ht="19.5" x14ac:dyDescent="0.45">
      <c r="A2" s="7">
        <v>1</v>
      </c>
      <c r="B2" s="8" t="s">
        <v>31</v>
      </c>
      <c r="C2" s="9">
        <v>45689</v>
      </c>
      <c r="D2" s="7">
        <f>DAY(C2)</f>
        <v>1</v>
      </c>
      <c r="E2" s="7">
        <f>MONTH(C2)</f>
        <v>2</v>
      </c>
      <c r="F2" s="7">
        <f>YEAR(C2)</f>
        <v>2025</v>
      </c>
      <c r="G2" s="10">
        <f ca="1">NOW()</f>
        <v>46019.010481134261</v>
      </c>
    </row>
    <row r="3" spans="1:7" ht="19.5" x14ac:dyDescent="0.45">
      <c r="A3" s="7">
        <v>2</v>
      </c>
      <c r="B3" s="8" t="s">
        <v>45</v>
      </c>
      <c r="C3" s="9">
        <v>45690</v>
      </c>
      <c r="D3" s="7">
        <f t="shared" ref="D3:D13" si="0">DAY(C3)</f>
        <v>2</v>
      </c>
      <c r="E3" s="7">
        <f t="shared" ref="E3:E13" si="1">MONTH(C3)</f>
        <v>2</v>
      </c>
      <c r="F3" s="7">
        <f t="shared" ref="F3:F13" si="2">YEAR(C3)</f>
        <v>2025</v>
      </c>
      <c r="G3" s="10">
        <f t="shared" ref="G3:G13" ca="1" si="3">NOW()</f>
        <v>46019.010481134261</v>
      </c>
    </row>
    <row r="4" spans="1:7" ht="19.5" x14ac:dyDescent="0.45">
      <c r="A4" s="7">
        <v>3</v>
      </c>
      <c r="B4" s="8" t="s">
        <v>32</v>
      </c>
      <c r="C4" s="9">
        <v>45691</v>
      </c>
      <c r="D4" s="7">
        <f t="shared" si="0"/>
        <v>3</v>
      </c>
      <c r="E4" s="7">
        <f t="shared" si="1"/>
        <v>2</v>
      </c>
      <c r="F4" s="7">
        <f t="shared" si="2"/>
        <v>2025</v>
      </c>
      <c r="G4" s="10">
        <f t="shared" ca="1" si="3"/>
        <v>46019.010481134261</v>
      </c>
    </row>
    <row r="5" spans="1:7" ht="19.5" x14ac:dyDescent="0.45">
      <c r="A5" s="7">
        <v>4</v>
      </c>
      <c r="B5" s="8" t="s">
        <v>46</v>
      </c>
      <c r="C5" s="9">
        <v>45692</v>
      </c>
      <c r="D5" s="7">
        <f t="shared" si="0"/>
        <v>4</v>
      </c>
      <c r="E5" s="7">
        <f t="shared" si="1"/>
        <v>2</v>
      </c>
      <c r="F5" s="7">
        <f t="shared" si="2"/>
        <v>2025</v>
      </c>
      <c r="G5" s="10">
        <f t="shared" ca="1" si="3"/>
        <v>46019.010481134261</v>
      </c>
    </row>
    <row r="6" spans="1:7" ht="19.5" x14ac:dyDescent="0.45">
      <c r="A6" s="7">
        <v>5</v>
      </c>
      <c r="B6" s="8" t="s">
        <v>47</v>
      </c>
      <c r="C6" s="9">
        <v>45693</v>
      </c>
      <c r="D6" s="7">
        <f t="shared" si="0"/>
        <v>5</v>
      </c>
      <c r="E6" s="7">
        <f t="shared" si="1"/>
        <v>2</v>
      </c>
      <c r="F6" s="7">
        <f>YEAR(C6)</f>
        <v>2025</v>
      </c>
      <c r="G6" s="10">
        <f ca="1">NOW()</f>
        <v>46019.010481134261</v>
      </c>
    </row>
    <row r="7" spans="1:7" ht="19.5" x14ac:dyDescent="0.45">
      <c r="A7" s="7">
        <v>6</v>
      </c>
      <c r="B7" s="8" t="s">
        <v>48</v>
      </c>
      <c r="C7" s="9">
        <v>45694</v>
      </c>
      <c r="D7" s="7">
        <f t="shared" si="0"/>
        <v>6</v>
      </c>
      <c r="E7" s="7">
        <f t="shared" si="1"/>
        <v>2</v>
      </c>
      <c r="F7" s="7">
        <f t="shared" si="2"/>
        <v>2025</v>
      </c>
      <c r="G7" s="10">
        <f ca="1">NOW()</f>
        <v>46019.010481134261</v>
      </c>
    </row>
    <row r="8" spans="1:7" ht="19.5" x14ac:dyDescent="0.45">
      <c r="A8" s="7">
        <v>7</v>
      </c>
      <c r="B8" s="8" t="s">
        <v>49</v>
      </c>
      <c r="C8" s="9">
        <v>45695</v>
      </c>
      <c r="D8" s="7">
        <f t="shared" si="0"/>
        <v>7</v>
      </c>
      <c r="E8" s="7">
        <f t="shared" si="1"/>
        <v>2</v>
      </c>
      <c r="F8" s="7">
        <f t="shared" si="2"/>
        <v>2025</v>
      </c>
      <c r="G8" s="10">
        <f t="shared" ca="1" si="3"/>
        <v>46019.010481134261</v>
      </c>
    </row>
    <row r="9" spans="1:7" ht="19.5" x14ac:dyDescent="0.45">
      <c r="A9" s="7">
        <v>8</v>
      </c>
      <c r="B9" s="8" t="s">
        <v>50</v>
      </c>
      <c r="C9" s="9">
        <v>45696</v>
      </c>
      <c r="D9" s="7">
        <f t="shared" si="0"/>
        <v>8</v>
      </c>
      <c r="E9" s="7">
        <f t="shared" si="1"/>
        <v>2</v>
      </c>
      <c r="F9" s="7">
        <f t="shared" si="2"/>
        <v>2025</v>
      </c>
      <c r="G9" s="10">
        <f t="shared" ca="1" si="3"/>
        <v>46019.010481134261</v>
      </c>
    </row>
    <row r="10" spans="1:7" ht="19.5" x14ac:dyDescent="0.45">
      <c r="A10" s="7">
        <v>9</v>
      </c>
      <c r="B10" s="8" t="s">
        <v>38</v>
      </c>
      <c r="C10" s="9">
        <v>45697</v>
      </c>
      <c r="D10" s="7">
        <f t="shared" si="0"/>
        <v>9</v>
      </c>
      <c r="E10" s="7">
        <f t="shared" si="1"/>
        <v>2</v>
      </c>
      <c r="F10" s="7">
        <f t="shared" si="2"/>
        <v>2025</v>
      </c>
      <c r="G10" s="10">
        <f t="shared" ca="1" si="3"/>
        <v>46019.010481134261</v>
      </c>
    </row>
    <row r="11" spans="1:7" ht="19.5" x14ac:dyDescent="0.45">
      <c r="A11" s="7">
        <v>10</v>
      </c>
      <c r="B11" s="8" t="s">
        <v>51</v>
      </c>
      <c r="C11" s="9">
        <v>45698</v>
      </c>
      <c r="D11" s="7">
        <f t="shared" si="0"/>
        <v>10</v>
      </c>
      <c r="E11" s="7">
        <f t="shared" si="1"/>
        <v>2</v>
      </c>
      <c r="F11" s="7">
        <f t="shared" si="2"/>
        <v>2025</v>
      </c>
      <c r="G11" s="10">
        <f t="shared" ca="1" si="3"/>
        <v>46019.010481134261</v>
      </c>
    </row>
    <row r="12" spans="1:7" ht="19.5" x14ac:dyDescent="0.45">
      <c r="A12" s="7">
        <v>11</v>
      </c>
      <c r="B12" s="8" t="s">
        <v>52</v>
      </c>
      <c r="C12" s="9">
        <v>45699</v>
      </c>
      <c r="D12" s="7">
        <f t="shared" si="0"/>
        <v>11</v>
      </c>
      <c r="E12" s="7">
        <f t="shared" si="1"/>
        <v>2</v>
      </c>
      <c r="F12" s="7">
        <f t="shared" si="2"/>
        <v>2025</v>
      </c>
      <c r="G12" s="10">
        <f t="shared" ca="1" si="3"/>
        <v>46019.010481134261</v>
      </c>
    </row>
    <row r="13" spans="1:7" ht="19.5" x14ac:dyDescent="0.45">
      <c r="A13" s="7">
        <v>12</v>
      </c>
      <c r="B13" s="8" t="s">
        <v>53</v>
      </c>
      <c r="C13" s="9">
        <v>45700</v>
      </c>
      <c r="D13" s="7">
        <f t="shared" si="0"/>
        <v>12</v>
      </c>
      <c r="E13" s="7">
        <f t="shared" si="1"/>
        <v>2</v>
      </c>
      <c r="F13" s="7">
        <f t="shared" si="2"/>
        <v>2025</v>
      </c>
      <c r="G13" s="10">
        <f t="shared" ca="1" si="3"/>
        <v>46019.010481134261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mathamatical operations</vt:lpstr>
      <vt:lpstr>amount calculations</vt:lpstr>
      <vt:lpstr>upper lower firstname lastname</vt:lpstr>
      <vt:lpstr>day month year 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Wagmare Sunil</cp:lastModifiedBy>
  <dcterms:created xsi:type="dcterms:W3CDTF">2015-06-05T18:17:20Z</dcterms:created>
  <dcterms:modified xsi:type="dcterms:W3CDTF">2025-12-27T18:45:06Z</dcterms:modified>
</cp:coreProperties>
</file>